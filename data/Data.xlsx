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esktop\Desktop\PeriodicTable\data\"/>
    </mc:Choice>
  </mc:AlternateContent>
  <xr:revisionPtr revIDLastSave="0" documentId="13_ncr:1_{8C04054C-99B4-4484-A6BF-11A990B69629}" xr6:coauthVersionLast="47" xr6:coauthVersionMax="47" xr10:uidLastSave="{00000000-0000-0000-0000-000000000000}"/>
  <bookViews>
    <workbookView xWindow="-120" yWindow="-120" windowWidth="29040" windowHeight="15720" xr2:uid="{82EE5854-35DC-4DDC-BE9D-11EAB8473D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H23" i="1"/>
  <c r="I23" i="1"/>
  <c r="J23" i="1"/>
  <c r="K23" i="1"/>
  <c r="C23" i="1"/>
</calcChain>
</file>

<file path=xl/sharedStrings.xml><?xml version="1.0" encoding="utf-8"?>
<sst xmlns="http://schemas.openxmlformats.org/spreadsheetml/2006/main" count="32" uniqueCount="32">
  <si>
    <t>Chile</t>
  </si>
  <si>
    <t>Australia</t>
  </si>
  <si>
    <t>Argentina</t>
  </si>
  <si>
    <t>China</t>
  </si>
  <si>
    <t>United States</t>
  </si>
  <si>
    <t>Kazakhstan</t>
  </si>
  <si>
    <t>Canada</t>
  </si>
  <si>
    <t>Russia</t>
  </si>
  <si>
    <t>Namibia</t>
  </si>
  <si>
    <t>Brazil</t>
  </si>
  <si>
    <t>India</t>
  </si>
  <si>
    <t>Peru</t>
  </si>
  <si>
    <t>Mexico</t>
  </si>
  <si>
    <t>Indonesia</t>
  </si>
  <si>
    <t>South Africa</t>
  </si>
  <si>
    <t>Turkey</t>
  </si>
  <si>
    <t>Country</t>
  </si>
  <si>
    <t>Iron %</t>
  </si>
  <si>
    <t>Silicon %</t>
  </si>
  <si>
    <t>Aluminum %</t>
  </si>
  <si>
    <t>Calcium %</t>
  </si>
  <si>
    <t>Nickel %</t>
  </si>
  <si>
    <t>Chromium %</t>
  </si>
  <si>
    <t>Lithium %</t>
  </si>
  <si>
    <t>Uranium %</t>
  </si>
  <si>
    <t>Guinea</t>
  </si>
  <si>
    <t>DR Congo</t>
  </si>
  <si>
    <t>Zambia</t>
  </si>
  <si>
    <t>Vietnam</t>
  </si>
  <si>
    <t>Total</t>
  </si>
  <si>
    <t>The totals show that the top 20 countries hold most global reserves/resources of these critical elements, while the remaining share is distributed across other countries. This also indicates that some minerals are more concentrated than others</t>
  </si>
  <si>
    <t xml:space="preserve">Copper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</si>
</sst>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23"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3" formatCode="0%"/>
      <alignment horizontal="righ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BDD7C-2AB8-46D4-9F85-C79581BC0870}" name="Table1" displayName="Table1" ref="B2:K23" totalsRowCount="1" headerRowDxfId="12" dataDxfId="11" totalsRowDxfId="0">
  <tableColumns count="10">
    <tableColumn id="11" xr3:uid="{C7AD0A2D-8A8D-4B88-8E5C-B0F467612DA2}" name="Country" totalsRowLabel="Total" dataDxfId="22" totalsRowDxfId="10"/>
    <tableColumn id="12" xr3:uid="{F7658929-F5E2-496C-9958-B05AB639B031}" name="Iron %" totalsRowFunction="custom" dataDxfId="21" totalsRowDxfId="9">
      <totalsRowFormula>SUBTOTAL(109,Table1[Iron %])/100</totalsRowFormula>
    </tableColumn>
    <tableColumn id="13" xr3:uid="{1F6BC7FB-AEE3-45DF-BA05-72A9A08BAC34}" name="Copper % " totalsRowFunction="custom" dataDxfId="20" totalsRowDxfId="8">
      <totalsRowFormula>SUBTOTAL(109,Table1[Copper % ])/100</totalsRowFormula>
    </tableColumn>
    <tableColumn id="14" xr3:uid="{AF4234C4-DFF0-45F9-B165-19B39FD50169}" name="Silicon %" totalsRowFunction="custom" dataDxfId="19" totalsRowDxfId="7">
      <totalsRowFormula>SUBTOTAL(109,Table1[Silicon %])/100</totalsRowFormula>
    </tableColumn>
    <tableColumn id="15" xr3:uid="{CE4E7C25-C2DB-456C-9B30-A0A990CA866C}" name="Aluminum %" totalsRowFunction="custom" dataDxfId="18" totalsRowDxfId="6">
      <totalsRowFormula>SUBTOTAL(109,Table1[Aluminum %])/100</totalsRowFormula>
    </tableColumn>
    <tableColumn id="16" xr3:uid="{06DB18F9-AAEA-44AF-9280-97F5A21CB838}" name="Calcium %" totalsRowFunction="custom" dataDxfId="17" totalsRowDxfId="5">
      <totalsRowFormula>SUBTOTAL(109,Table1[Calcium %])/100</totalsRowFormula>
    </tableColumn>
    <tableColumn id="17" xr3:uid="{06F44FF5-CBAC-4EC7-88B8-904626BE60D1}" name="Nickel %" totalsRowFunction="custom" dataDxfId="16" totalsRowDxfId="4">
      <totalsRowFormula>SUBTOTAL(109,Table1[Nickel %])/100</totalsRowFormula>
    </tableColumn>
    <tableColumn id="18" xr3:uid="{99EC890A-1D1C-4A62-8FF7-A4B9AA484DC0}" name="Chromium %" totalsRowFunction="custom" dataDxfId="15" totalsRowDxfId="3">
      <totalsRowFormula>SUBTOTAL(109,Table1[Chromium %])/100</totalsRowFormula>
    </tableColumn>
    <tableColumn id="19" xr3:uid="{88E1F3FC-115F-43DE-A83C-F5DFEC33F3B3}" name="Lithium %" totalsRowFunction="custom" dataDxfId="14" totalsRowDxfId="2">
      <totalsRowFormula>SUBTOTAL(109,Table1[Lithium %])/100</totalsRowFormula>
    </tableColumn>
    <tableColumn id="20" xr3:uid="{16EE5B6A-9DBF-4DE2-AF17-61B9363067FC}" name="Uranium %" totalsRowFunction="custom" dataDxfId="13" totalsRowDxfId="1">
      <totalsRowFormula>SUBTOTAL(109,Table1[Uranium %])/100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ACF1-C4E2-49FA-A1BD-E126D4E981E3}">
  <dimension ref="B2:K24"/>
  <sheetViews>
    <sheetView tabSelected="1" zoomScale="89" zoomScaleNormal="89" workbookViewId="0">
      <selection activeCell="O20" sqref="O20"/>
    </sheetView>
  </sheetViews>
  <sheetFormatPr defaultRowHeight="15" x14ac:dyDescent="0.25"/>
  <cols>
    <col min="1" max="1" width="9.140625" style="1"/>
    <col min="2" max="2" width="13.5703125" style="1" customWidth="1"/>
    <col min="3" max="3" width="7.5703125" style="1" customWidth="1"/>
    <col min="4" max="4" width="10.140625" style="1" bestFit="1" customWidth="1"/>
    <col min="5" max="5" width="10" style="1" bestFit="1" customWidth="1"/>
    <col min="6" max="6" width="12.85546875" style="1" bestFit="1" customWidth="1"/>
    <col min="7" max="7" width="11.28515625" style="1" bestFit="1" customWidth="1"/>
    <col min="8" max="8" width="9.42578125" style="1" bestFit="1" customWidth="1"/>
    <col min="9" max="9" width="13.140625" style="1" bestFit="1" customWidth="1"/>
    <col min="10" max="10" width="11.140625" style="1" customWidth="1"/>
    <col min="11" max="11" width="12" style="1" customWidth="1"/>
    <col min="12" max="16384" width="9.140625" style="1"/>
  </cols>
  <sheetData>
    <row r="2" spans="2:11" ht="29.25" customHeight="1" x14ac:dyDescent="0.25">
      <c r="B2" s="4" t="s">
        <v>16</v>
      </c>
      <c r="C2" s="4" t="s">
        <v>17</v>
      </c>
      <c r="D2" s="4" t="s">
        <v>31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</row>
    <row r="3" spans="2:11" x14ac:dyDescent="0.25">
      <c r="B3" s="5" t="s">
        <v>1</v>
      </c>
      <c r="C3" s="6">
        <v>29</v>
      </c>
      <c r="D3" s="6">
        <v>10</v>
      </c>
      <c r="E3" s="6">
        <v>5</v>
      </c>
      <c r="F3" s="6">
        <v>17</v>
      </c>
      <c r="G3" s="6">
        <v>2</v>
      </c>
      <c r="H3" s="6">
        <v>21</v>
      </c>
      <c r="I3" s="6">
        <v>0</v>
      </c>
      <c r="J3" s="6">
        <v>24</v>
      </c>
      <c r="K3" s="6">
        <v>28</v>
      </c>
    </row>
    <row r="4" spans="2:11" x14ac:dyDescent="0.25">
      <c r="B4" s="5" t="s">
        <v>9</v>
      </c>
      <c r="C4" s="6">
        <v>17</v>
      </c>
      <c r="D4" s="6">
        <v>0</v>
      </c>
      <c r="E4" s="6">
        <v>7</v>
      </c>
      <c r="F4" s="6">
        <v>9</v>
      </c>
      <c r="G4" s="6">
        <v>5</v>
      </c>
      <c r="H4" s="6">
        <v>16</v>
      </c>
      <c r="I4" s="6">
        <v>0</v>
      </c>
      <c r="J4" s="6">
        <v>0</v>
      </c>
      <c r="K4" s="6">
        <v>5</v>
      </c>
    </row>
    <row r="5" spans="2:11" x14ac:dyDescent="0.25">
      <c r="B5" s="5" t="s">
        <v>7</v>
      </c>
      <c r="C5" s="6">
        <v>14</v>
      </c>
      <c r="D5" s="6">
        <v>7</v>
      </c>
      <c r="E5" s="6">
        <v>6</v>
      </c>
      <c r="F5" s="6">
        <v>0</v>
      </c>
      <c r="G5" s="6">
        <v>6</v>
      </c>
      <c r="H5" s="6">
        <v>8</v>
      </c>
      <c r="I5" s="6">
        <v>0</v>
      </c>
      <c r="J5" s="6">
        <v>0</v>
      </c>
      <c r="K5" s="6">
        <v>8</v>
      </c>
    </row>
    <row r="6" spans="2:11" x14ac:dyDescent="0.25">
      <c r="B6" s="5" t="s">
        <v>3</v>
      </c>
      <c r="C6" s="6">
        <v>10</v>
      </c>
      <c r="D6" s="6">
        <v>4</v>
      </c>
      <c r="E6" s="6">
        <v>18</v>
      </c>
      <c r="F6" s="6">
        <v>3</v>
      </c>
      <c r="G6" s="6">
        <v>10</v>
      </c>
      <c r="H6" s="6">
        <v>3</v>
      </c>
      <c r="I6" s="6">
        <v>0</v>
      </c>
      <c r="J6" s="6">
        <v>8</v>
      </c>
      <c r="K6" s="6">
        <v>3</v>
      </c>
    </row>
    <row r="7" spans="2:11" x14ac:dyDescent="0.25">
      <c r="B7" s="5" t="s">
        <v>10</v>
      </c>
      <c r="C7" s="6">
        <v>6</v>
      </c>
      <c r="D7" s="6">
        <v>0</v>
      </c>
      <c r="E7" s="6">
        <v>6</v>
      </c>
      <c r="F7" s="6">
        <v>5</v>
      </c>
      <c r="G7" s="6">
        <v>8</v>
      </c>
      <c r="H7" s="6">
        <v>0</v>
      </c>
      <c r="I7" s="6">
        <v>3</v>
      </c>
      <c r="J7" s="6">
        <v>0</v>
      </c>
      <c r="K7" s="6">
        <v>0</v>
      </c>
    </row>
    <row r="8" spans="2:11" x14ac:dyDescent="0.25">
      <c r="B8" s="5" t="s">
        <v>0</v>
      </c>
      <c r="C8" s="6">
        <v>0</v>
      </c>
      <c r="D8" s="6">
        <v>19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36</v>
      </c>
      <c r="K8" s="6">
        <v>0</v>
      </c>
    </row>
    <row r="9" spans="2:11" x14ac:dyDescent="0.25">
      <c r="B9" s="5" t="s">
        <v>4</v>
      </c>
      <c r="C9" s="6">
        <v>2</v>
      </c>
      <c r="D9" s="6">
        <v>5</v>
      </c>
      <c r="E9" s="6">
        <v>8</v>
      </c>
      <c r="F9" s="6">
        <v>0</v>
      </c>
      <c r="G9" s="6">
        <v>8</v>
      </c>
      <c r="H9" s="6">
        <v>0</v>
      </c>
      <c r="I9" s="6">
        <v>0</v>
      </c>
      <c r="J9" s="6">
        <v>4</v>
      </c>
      <c r="K9" s="6">
        <v>0</v>
      </c>
    </row>
    <row r="10" spans="2:11" x14ac:dyDescent="0.25">
      <c r="B10" s="5" t="s">
        <v>6</v>
      </c>
      <c r="C10" s="6">
        <v>3</v>
      </c>
      <c r="D10" s="6">
        <v>0</v>
      </c>
      <c r="E10" s="6">
        <v>4</v>
      </c>
      <c r="F10" s="6">
        <v>0</v>
      </c>
      <c r="G10" s="6">
        <v>0</v>
      </c>
      <c r="H10" s="6">
        <v>5</v>
      </c>
      <c r="I10" s="6">
        <v>0</v>
      </c>
      <c r="J10" s="6">
        <v>3</v>
      </c>
      <c r="K10" s="6">
        <v>10</v>
      </c>
    </row>
    <row r="11" spans="2:11" x14ac:dyDescent="0.25">
      <c r="B11" s="5" t="s">
        <v>14</v>
      </c>
      <c r="C11" s="6">
        <v>3</v>
      </c>
      <c r="D11" s="6">
        <v>0</v>
      </c>
      <c r="E11" s="6">
        <v>4</v>
      </c>
      <c r="F11" s="6">
        <v>0</v>
      </c>
      <c r="G11" s="6">
        <v>0</v>
      </c>
      <c r="H11" s="6">
        <v>0</v>
      </c>
      <c r="I11" s="6">
        <v>72</v>
      </c>
      <c r="J11" s="6">
        <v>0</v>
      </c>
      <c r="K11" s="6">
        <v>5</v>
      </c>
    </row>
    <row r="12" spans="2:11" x14ac:dyDescent="0.25">
      <c r="B12" s="5" t="s">
        <v>13</v>
      </c>
      <c r="C12" s="6">
        <v>0</v>
      </c>
      <c r="D12" s="6">
        <v>0</v>
      </c>
      <c r="E12" s="6">
        <v>0</v>
      </c>
      <c r="F12" s="6">
        <v>6</v>
      </c>
      <c r="G12" s="6">
        <v>4</v>
      </c>
      <c r="H12" s="6">
        <v>22</v>
      </c>
      <c r="I12" s="6">
        <v>0</v>
      </c>
      <c r="J12" s="6">
        <v>0</v>
      </c>
      <c r="K12" s="6">
        <v>0</v>
      </c>
    </row>
    <row r="13" spans="2:11" x14ac:dyDescent="0.25">
      <c r="B13" s="5" t="s">
        <v>5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14</v>
      </c>
      <c r="J13" s="6">
        <v>0</v>
      </c>
      <c r="K13" s="6">
        <v>13</v>
      </c>
    </row>
    <row r="14" spans="2:11" x14ac:dyDescent="0.25">
      <c r="B14" s="5" t="s">
        <v>11</v>
      </c>
      <c r="C14" s="6">
        <v>0</v>
      </c>
      <c r="D14" s="6">
        <v>9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2:11" x14ac:dyDescent="0.25">
      <c r="B15" s="5" t="s">
        <v>25</v>
      </c>
      <c r="C15" s="6">
        <v>0</v>
      </c>
      <c r="D15" s="6">
        <v>0</v>
      </c>
      <c r="E15" s="6">
        <v>0</v>
      </c>
      <c r="F15" s="6">
        <v>25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2:11" x14ac:dyDescent="0.25">
      <c r="B16" s="5" t="s">
        <v>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10</v>
      </c>
      <c r="K16" s="6">
        <v>0</v>
      </c>
    </row>
    <row r="17" spans="2:11" x14ac:dyDescent="0.25">
      <c r="B17" s="5" t="s">
        <v>26</v>
      </c>
      <c r="C17" s="6">
        <v>0</v>
      </c>
      <c r="D17" s="6">
        <v>7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spans="2:11" x14ac:dyDescent="0.25">
      <c r="B18" s="5" t="s">
        <v>27</v>
      </c>
      <c r="C18" s="6">
        <v>0</v>
      </c>
      <c r="D18" s="6">
        <v>4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r="19" spans="2:11" x14ac:dyDescent="0.25">
      <c r="B19" s="5" t="s">
        <v>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8</v>
      </c>
    </row>
    <row r="20" spans="2:11" x14ac:dyDescent="0.25">
      <c r="B20" s="5" t="s">
        <v>12</v>
      </c>
      <c r="C20" s="6">
        <v>0</v>
      </c>
      <c r="D20" s="6">
        <v>5</v>
      </c>
      <c r="E20" s="6">
        <v>0</v>
      </c>
      <c r="F20" s="6">
        <v>0</v>
      </c>
      <c r="G20" s="6">
        <v>4</v>
      </c>
      <c r="H20" s="6">
        <v>0</v>
      </c>
      <c r="I20" s="6">
        <v>0</v>
      </c>
      <c r="J20" s="6">
        <v>0</v>
      </c>
      <c r="K20" s="6">
        <v>0</v>
      </c>
    </row>
    <row r="21" spans="2:11" x14ac:dyDescent="0.25">
      <c r="B21" s="5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5</v>
      </c>
      <c r="H21" s="6">
        <v>0</v>
      </c>
      <c r="I21" s="6">
        <v>2</v>
      </c>
      <c r="J21" s="6">
        <v>0</v>
      </c>
      <c r="K21" s="6">
        <v>0</v>
      </c>
    </row>
    <row r="22" spans="2:11" x14ac:dyDescent="0.25">
      <c r="B22" s="5" t="s">
        <v>28</v>
      </c>
      <c r="C22" s="6">
        <v>0</v>
      </c>
      <c r="D22" s="6">
        <v>0</v>
      </c>
      <c r="E22" s="6">
        <v>0</v>
      </c>
      <c r="F22" s="6">
        <v>12</v>
      </c>
      <c r="G22" s="6">
        <v>4</v>
      </c>
      <c r="H22" s="6">
        <v>0</v>
      </c>
      <c r="I22" s="6">
        <v>0</v>
      </c>
      <c r="J22" s="6">
        <v>0</v>
      </c>
      <c r="K22" s="6">
        <v>0</v>
      </c>
    </row>
    <row r="23" spans="2:11" ht="22.5" customHeight="1" x14ac:dyDescent="0.25">
      <c r="B23" s="7" t="s">
        <v>29</v>
      </c>
      <c r="C23" s="8">
        <f>SUBTOTAL(109,Table1[Iron %])/100</f>
        <v>0.84</v>
      </c>
      <c r="D23" s="8">
        <f>SUBTOTAL(109,Table1[Copper % ])/100</f>
        <v>0.7</v>
      </c>
      <c r="E23" s="8">
        <f>SUBTOTAL(109,Table1[Silicon %])/100</f>
        <v>0.57999999999999996</v>
      </c>
      <c r="F23" s="8">
        <f>SUBTOTAL(109,Table1[Aluminum %])/100</f>
        <v>0.77</v>
      </c>
      <c r="G23" s="8">
        <f>SUBTOTAL(109,Table1[Calcium %])/100</f>
        <v>0.56000000000000005</v>
      </c>
      <c r="H23" s="8">
        <f>SUBTOTAL(109,Table1[Nickel %])/100</f>
        <v>0.75</v>
      </c>
      <c r="I23" s="8">
        <f>SUBTOTAL(109,Table1[Chromium %])/100</f>
        <v>0.91</v>
      </c>
      <c r="J23" s="8">
        <f>SUBTOTAL(109,Table1[Lithium %])/100</f>
        <v>0.85</v>
      </c>
      <c r="K23" s="8">
        <f>SUBTOTAL(109,Table1[Uranium %])/100</f>
        <v>0.8</v>
      </c>
    </row>
    <row r="24" spans="2:11" ht="36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</row>
  </sheetData>
  <mergeCells count="1">
    <mergeCell ref="B24:K2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7F77-540D-4743-96FF-928BCC5B8DBD}">
  <dimension ref="C22"/>
  <sheetViews>
    <sheetView topLeftCell="A13" workbookViewId="0">
      <selection activeCell="C22" sqref="C22"/>
    </sheetView>
  </sheetViews>
  <sheetFormatPr defaultRowHeight="15" x14ac:dyDescent="0.25"/>
  <sheetData>
    <row r="22" spans="3:3" ht="409.5" x14ac:dyDescent="0.25">
      <c r="C2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Ameen</dc:creator>
  <cp:lastModifiedBy>Abdullah Ameen</cp:lastModifiedBy>
  <dcterms:created xsi:type="dcterms:W3CDTF">2026-04-30T16:24:57Z</dcterms:created>
  <dcterms:modified xsi:type="dcterms:W3CDTF">2026-05-01T20:52:04Z</dcterms:modified>
</cp:coreProperties>
</file>